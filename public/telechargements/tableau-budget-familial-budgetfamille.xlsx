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Budget du mois" sheetId="2" state="visible" r:id="rId4"/>
    <sheet name="Pot commun" sheetId="3" state="visible" r:id="rId5"/>
    <sheet name="Anné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Exemple : prime de juin.</t>
        </r>
      </text>
    </comment>
    <comment ref="F15" authorId="0">
      <text>
        <r>
          <rPr>
            <sz val="10"/>
            <rFont val="Arial"/>
            <family val="2"/>
          </rPr>
          <t xml:space="preserve">Exemple : taxe foncière payée en octobre.</t>
        </r>
      </text>
    </comment>
  </commentList>
</comments>
</file>

<file path=xl/sharedStrings.xml><?xml version="1.0" encoding="utf-8"?>
<sst xmlns="http://schemas.openxmlformats.org/spreadsheetml/2006/main" count="102" uniqueCount="90">
  <si>
    <t xml:space="preserve">Tableau de budget familial gratuit</t>
  </si>
  <si>
    <t xml:space="preserve">Proposé par Budget Famille — budgetfamille.com</t>
  </si>
  <si>
    <t xml:space="preserve">Comment l'utiliser</t>
  </si>
  <si>
    <t xml:space="preserve">1. Onglet « Budget du mois » : remplacez les montants des cases jaunes par les vôtres (salaires nets, charges, épargne).</t>
  </si>
  <si>
    <t xml:space="preserve">2. Onglet « Pot commun » : si vous êtes en couple, comparez les 3 façons de répartir (50/50, au prorata, même argent de poche).</t>
  </si>
  <si>
    <t xml:space="preserve">3. Onglet « Année » : ajoutez les charges qui ne tombent qu'une fois (taxe foncière, assurance auto…) dans la colonne jaune du bon mois.</t>
  </si>
  <si>
    <t xml:space="preserve">Légende</t>
  </si>
  <si>
    <t xml:space="preserve">Cases jaunes : à remplir avec vos chiffres (les montants présents sont un exemple : Camille et Mehdi).</t>
  </si>
  <si>
    <t xml:space="preserve">Texte vert : valeur reprise d'un autre onglet. Texte noir : calcul automatique, à ne pas modifier.</t>
  </si>
  <si>
    <t xml:space="preserve">Les mots à connaître</t>
  </si>
  <si>
    <t xml:space="preserve">Pot commun : l'argent que chacun verse pour payer les charges du foyer et l'épargne commune.</t>
  </si>
  <si>
    <t xml:space="preserve">Argent de poche : ce qui reste à chacun après sa part du pot commun. Il en fait ce qu'il veut.</t>
  </si>
  <si>
    <t xml:space="preserve">Reste du mois : ce qui reste au foyer une fois les charges et l'épargne payées (l'argent de poche de chacun compris).</t>
  </si>
  <si>
    <t xml:space="preserve">Envie que tout se calcule tout seul, à plusieurs, sur votre téléphone ?</t>
  </si>
  <si>
    <t xml:space="preserve">Budget Famille fait la même chose automatiquement chaque mois, gratuitement : https://www.budgetfamille.com/signup</t>
  </si>
  <si>
    <t xml:space="preserve">Budget du mois</t>
  </si>
  <si>
    <t xml:space="preserve">Remplacez les cases jaunes par vos montants. Les totaux se calculent seuls.</t>
  </si>
  <si>
    <t xml:space="preserve">Revenus</t>
  </si>
  <si>
    <t xml:space="preserve">Montant mensuel</t>
  </si>
  <si>
    <t xml:space="preserve">Note</t>
  </si>
  <si>
    <t xml:space="preserve">Salaire net — personne 1</t>
  </si>
  <si>
    <t xml:space="preserve">Exemple : Camille</t>
  </si>
  <si>
    <t xml:space="preserve">Salaire net — personne 2</t>
  </si>
  <si>
    <t xml:space="preserve">Exemple : Mehdi. Mettez 0 si vous êtes seul.</t>
  </si>
  <si>
    <t xml:space="preserve">Autres revenus</t>
  </si>
  <si>
    <t xml:space="preserve">Allocations, primes, revenus locatifs…</t>
  </si>
  <si>
    <t xml:space="preserve">Total des revenus</t>
  </si>
  <si>
    <t xml:space="preserve">Charges du foyer</t>
  </si>
  <si>
    <t xml:space="preserve">Logement (loyer ou crédit)</t>
  </si>
  <si>
    <t xml:space="preserve">Énergie (électricité, gaz)</t>
  </si>
  <si>
    <t xml:space="preserve">Eau</t>
  </si>
  <si>
    <t xml:space="preserve">Internet et téléphones</t>
  </si>
  <si>
    <t xml:space="preserve">Assurances (habitation, auto, santé)</t>
  </si>
  <si>
    <t xml:space="preserve">Courses</t>
  </si>
  <si>
    <t xml:space="preserve">Transport (carburant, transports en commun)</t>
  </si>
  <si>
    <t xml:space="preserve">Enfants (cantine, garde, activités)</t>
  </si>
  <si>
    <t xml:space="preserve">Abonnements (streaming, sport…)</t>
  </si>
  <si>
    <t xml:space="preserve">Impôts et taxes (mensualisés)</t>
  </si>
  <si>
    <t xml:space="preserve">Taxe foncière annuelle : voir l’onglet Année</t>
  </si>
  <si>
    <t xml:space="preserve">Santé (hors remboursements)</t>
  </si>
  <si>
    <t xml:space="preserve">Loisirs et sorties</t>
  </si>
  <si>
    <t xml:space="preserve">Divers</t>
  </si>
  <si>
    <t xml:space="preserve">Total des charges</t>
  </si>
  <si>
    <t xml:space="preserve">Épargne</t>
  </si>
  <si>
    <t xml:space="preserve">Fonds d’urgence</t>
  </si>
  <si>
    <t xml:space="preserve">Objectif conseillé : 3 à 6 mois de charges</t>
  </si>
  <si>
    <t xml:space="preserve">Vacances</t>
  </si>
  <si>
    <t xml:space="preserve">Projet (apport, voiture…)</t>
  </si>
  <si>
    <t xml:space="preserve">Total de l’épargne</t>
  </si>
  <si>
    <t xml:space="preserve">Synthèse</t>
  </si>
  <si>
    <t xml:space="preserve">Charges</t>
  </si>
  <si>
    <t xml:space="preserve">Reste du mois</t>
  </si>
  <si>
    <t xml:space="preserve">L’argent de poche de chacun compris. Négatif : il manque de l’argent ce mois-ci.</t>
  </si>
  <si>
    <t xml:space="preserve">Part des revenus épargnée</t>
  </si>
  <si>
    <t xml:space="preserve">Repère courant : viser 10 à 20 % des revenus.</t>
  </si>
  <si>
    <t xml:space="preserve">Pot commun : qui verse combien ?</t>
  </si>
  <si>
    <t xml:space="preserve">Les salaires et le besoin viennent de l’onglet « Budget du mois ».</t>
  </si>
  <si>
    <t xml:space="preserve">Besoin du mois (charges + épargne)</t>
  </si>
  <si>
    <t xml:space="preserve">Méthode</t>
  </si>
  <si>
    <t xml:space="preserve">Verse — personne 1</t>
  </si>
  <si>
    <t xml:space="preserve">Verse — personne 2</t>
  </si>
  <si>
    <t xml:space="preserve">Argent de poche 1</t>
  </si>
  <si>
    <t xml:space="preserve">Argent de poche 2</t>
  </si>
  <si>
    <t xml:space="preserve">Écart d’argent de poche</t>
  </si>
  <si>
    <t xml:space="preserve">À parts égales (50/50)</t>
  </si>
  <si>
    <t xml:space="preserve">Au prorata des salaires</t>
  </si>
  <si>
    <t xml:space="preserve">Même argent de poche</t>
  </si>
  <si>
    <t xml:space="preserve">50/50 : chacun verse la même somme ; l’argent de poche suit l’écart de salaires.</t>
  </si>
  <si>
    <t xml:space="preserve">Prorata : chacun verse la même part de son salaire ; c’est la méthode la plus courante quand les revenus sont différents.</t>
  </si>
  <si>
    <t xml:space="preserve">Même argent de poche : chacun garde la même somme pour lui (si l’écart de salaires dépasse le besoin, le plus haut salaire paie tout).</t>
  </si>
  <si>
    <t xml:space="preserve">Mon année</t>
  </si>
  <si>
    <t xml:space="preserve">Chaque mois reprend le budget du mois. Ajoutez en jaune ce qui ne revient pas tous les mois.</t>
  </si>
  <si>
    <t xml:space="preserve">Mois</t>
  </si>
  <si>
    <t xml:space="preserve">Revenus en plus</t>
  </si>
  <si>
    <t xml:space="preserve">Charges en plus</t>
  </si>
  <si>
    <t xml:space="preserve">Reste cumulé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</si>
  <si>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</si>
  <si>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</si>
  <si>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</si>
  <si>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</si>
  <si>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</si>
  <si>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</si>
  <si>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</si>
  <si>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</si>
  <si>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</si>
  <si>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</si>
  <si>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</si>
  <si>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</si>
  <si>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Total</t>
  </si>
  <si>
    <t xml:space="preserve">Épargné sur l’année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</si>
</sst>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\-#,##0&quot; €&quot;;\-"/>
    <numFmt numFmtId="166" formatCode="0.0%;\-0.0%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202E"/>
      <name val="Arial"/>
      <family val="0"/>
      <charset val="1"/>
    </font>
    <font>
      <sz val="11"/>
      <color rgb="FF5F6878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7FB4"/>
      <name val="Arial"/>
      <family val="0"/>
      <charset val="1"/>
    </font>
    <font>
      <u val="single"/>
      <sz val="11"/>
      <color rgb="FF1F7FB4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F687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9CD9"/>
        <bgColor rgb="FF1F7FB4"/>
      </patternFill>
    </fill>
    <fill>
      <patternFill patternType="solid">
        <fgColor rgb="FFFFF4C2"/>
        <bgColor rgb="FFFFFF99"/>
      </patternFill>
    </fill>
    <fill>
      <patternFill patternType="solid">
        <fgColor rgb="FFE8F5EE"/>
        <bgColor rgb="FFEEF7FC"/>
      </patternFill>
    </fill>
    <fill>
      <patternFill patternType="solid">
        <fgColor rgb="FFEEF7FC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FB4"/>
      <rgbColor rgb="FFC0C0C0"/>
      <rgbColor rgb="FF808080"/>
      <rgbColor rgb="FF9999FF"/>
      <rgbColor rgb="FF993366"/>
      <rgbColor rgb="FFFFF4C2"/>
      <rgbColor rgb="FFE8F5EE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7FC"/>
      <rgbColor rgb="FFCCFFCC"/>
      <rgbColor rgb="FFFFFF99"/>
      <rgbColor rgb="FF99CCFF"/>
      <rgbColor rgb="FFFF99CC"/>
      <rgbColor rgb="FFCC99FF"/>
      <rgbColor rgb="FFFFCC99"/>
      <rgbColor rgb="FF3366FF"/>
      <rgbColor rgb="FF1F9CD9"/>
      <rgbColor rgb="FF99CC00"/>
      <rgbColor rgb="FFFFCC00"/>
      <rgbColor rgb="FFFF9900"/>
      <rgbColor rgb="FFFF6600"/>
      <rgbColor rgb="FF5F68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udgetfamille.com/signup?utm_source=excel&amp;utm_medium=templat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26.85" hidden="false" customHeight="false" outlineLevel="0" collapsed="false">
      <c r="B7" s="5" t="s">
        <v>4</v>
      </c>
    </row>
    <row r="8" customFormat="false" ht="26.85" hidden="false" customHeight="false" outlineLevel="0" collapsed="false">
      <c r="B8" s="5" t="s">
        <v>5</v>
      </c>
    </row>
    <row r="9" customFormat="false" ht="15" hidden="false" customHeight="false" outlineLevel="0" collapsed="false">
      <c r="B9" s="3"/>
    </row>
    <row r="10" customFormat="false" ht="16.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3"/>
    </row>
    <row r="14" customFormat="false" ht="16.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 t="s">
        <v>12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6" t="s">
        <v>13</v>
      </c>
    </row>
    <row r="20" customFormat="false" ht="15" hidden="false" customHeight="false" outlineLevel="0" collapsed="false">
      <c r="B20" s="7" t="s">
        <v>14</v>
      </c>
    </row>
  </sheetData>
  <hyperlinks>
    <hyperlink ref="B20" r:id="rId1" display="Budget Famille fait la même chose automatiquement chaque mois, gratuitement : https://www.budgetfamille.com/signu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44"/>
  </cols>
  <sheetData>
    <row r="2" customFormat="false" ht="19.7" hidden="false" customHeight="false" outlineLevel="0" collapsed="false">
      <c r="B2" s="8" t="s">
        <v>15</v>
      </c>
    </row>
    <row r="3" customFormat="false" ht="15" hidden="false" customHeight="false" outlineLevel="0" collapsed="false">
      <c r="B3" s="9" t="s">
        <v>16</v>
      </c>
    </row>
    <row r="5" customFormat="false" ht="15" hidden="false" customHeight="false" outlineLevel="0" collapsed="false">
      <c r="B5" s="10" t="s">
        <v>17</v>
      </c>
      <c r="C5" s="10" t="s">
        <v>18</v>
      </c>
      <c r="D5" s="10" t="s">
        <v>19</v>
      </c>
    </row>
    <row r="6" customFormat="false" ht="15" hidden="false" customHeight="false" outlineLevel="0" collapsed="false">
      <c r="B6" s="11" t="s">
        <v>20</v>
      </c>
      <c r="C6" s="12" t="n">
        <v>2800</v>
      </c>
      <c r="D6" s="13" t="s">
        <v>21</v>
      </c>
    </row>
    <row r="7" customFormat="false" ht="15" hidden="false" customHeight="false" outlineLevel="0" collapsed="false">
      <c r="B7" s="11" t="s">
        <v>22</v>
      </c>
      <c r="C7" s="12" t="n">
        <v>2100</v>
      </c>
      <c r="D7" s="13" t="s">
        <v>23</v>
      </c>
    </row>
    <row r="8" customFormat="false" ht="15" hidden="false" customHeight="false" outlineLevel="0" collapsed="false">
      <c r="B8" s="11" t="s">
        <v>24</v>
      </c>
      <c r="C8" s="12" t="n">
        <v>150</v>
      </c>
      <c r="D8" s="13" t="s">
        <v>25</v>
      </c>
    </row>
    <row r="9" customFormat="false" ht="15" hidden="false" customHeight="false" outlineLevel="0" collapsed="false">
      <c r="B9" s="14" t="s">
        <v>26</v>
      </c>
      <c r="C9" s="15" t="n">
        <f aca="false">SUM(C6:C8)</f>
        <v>5050</v>
      </c>
      <c r="D9" s="16"/>
    </row>
    <row r="11" customFormat="false" ht="15" hidden="false" customHeight="false" outlineLevel="0" collapsed="false">
      <c r="B11" s="10" t="s">
        <v>27</v>
      </c>
      <c r="C11" s="10" t="s">
        <v>18</v>
      </c>
      <c r="D11" s="10" t="s">
        <v>19</v>
      </c>
    </row>
    <row r="12" customFormat="false" ht="15" hidden="false" customHeight="false" outlineLevel="0" collapsed="false">
      <c r="B12" s="11" t="s">
        <v>28</v>
      </c>
      <c r="C12" s="12" t="n">
        <v>1150</v>
      </c>
      <c r="D12" s="13"/>
    </row>
    <row r="13" customFormat="false" ht="15" hidden="false" customHeight="false" outlineLevel="0" collapsed="false">
      <c r="B13" s="11" t="s">
        <v>29</v>
      </c>
      <c r="C13" s="12" t="n">
        <v>110</v>
      </c>
      <c r="D13" s="13"/>
    </row>
    <row r="14" customFormat="false" ht="15" hidden="false" customHeight="false" outlineLevel="0" collapsed="false">
      <c r="B14" s="11" t="s">
        <v>30</v>
      </c>
      <c r="C14" s="12" t="n">
        <v>30</v>
      </c>
      <c r="D14" s="13"/>
    </row>
    <row r="15" customFormat="false" ht="15" hidden="false" customHeight="false" outlineLevel="0" collapsed="false">
      <c r="B15" s="11" t="s">
        <v>31</v>
      </c>
      <c r="C15" s="12" t="n">
        <v>55</v>
      </c>
      <c r="D15" s="13"/>
    </row>
    <row r="16" customFormat="false" ht="15" hidden="false" customHeight="false" outlineLevel="0" collapsed="false">
      <c r="B16" s="11" t="s">
        <v>32</v>
      </c>
      <c r="C16" s="12" t="n">
        <v>140</v>
      </c>
      <c r="D16" s="13"/>
    </row>
    <row r="17" customFormat="false" ht="15" hidden="false" customHeight="false" outlineLevel="0" collapsed="false">
      <c r="B17" s="11" t="s">
        <v>33</v>
      </c>
      <c r="C17" s="12" t="n">
        <v>520</v>
      </c>
      <c r="D17" s="13"/>
    </row>
    <row r="18" customFormat="false" ht="15" hidden="false" customHeight="false" outlineLevel="0" collapsed="false">
      <c r="B18" s="11" t="s">
        <v>34</v>
      </c>
      <c r="C18" s="12" t="n">
        <v>160</v>
      </c>
      <c r="D18" s="13"/>
    </row>
    <row r="19" customFormat="false" ht="15" hidden="false" customHeight="false" outlineLevel="0" collapsed="false">
      <c r="B19" s="11" t="s">
        <v>35</v>
      </c>
      <c r="C19" s="12" t="n">
        <v>120</v>
      </c>
      <c r="D19" s="13"/>
    </row>
    <row r="20" customFormat="false" ht="15" hidden="false" customHeight="false" outlineLevel="0" collapsed="false">
      <c r="B20" s="11" t="s">
        <v>36</v>
      </c>
      <c r="C20" s="12" t="n">
        <v>35</v>
      </c>
      <c r="D20" s="13"/>
    </row>
    <row r="21" customFormat="false" ht="15" hidden="false" customHeight="false" outlineLevel="0" collapsed="false">
      <c r="B21" s="11" t="s">
        <v>37</v>
      </c>
      <c r="C21" s="12" t="n">
        <v>90</v>
      </c>
      <c r="D21" s="13" t="s">
        <v>38</v>
      </c>
    </row>
    <row r="22" customFormat="false" ht="15" hidden="false" customHeight="false" outlineLevel="0" collapsed="false">
      <c r="B22" s="11" t="s">
        <v>39</v>
      </c>
      <c r="C22" s="12" t="n">
        <v>30</v>
      </c>
      <c r="D22" s="13"/>
    </row>
    <row r="23" customFormat="false" ht="15" hidden="false" customHeight="false" outlineLevel="0" collapsed="false">
      <c r="B23" s="11" t="s">
        <v>40</v>
      </c>
      <c r="C23" s="12" t="n">
        <v>120</v>
      </c>
      <c r="D23" s="13"/>
    </row>
    <row r="24" customFormat="false" ht="15" hidden="false" customHeight="false" outlineLevel="0" collapsed="false">
      <c r="B24" s="11" t="s">
        <v>41</v>
      </c>
      <c r="C24" s="12" t="n">
        <v>60</v>
      </c>
      <c r="D24" s="13"/>
    </row>
    <row r="25" customFormat="false" ht="15" hidden="false" customHeight="false" outlineLevel="0" collapsed="false">
      <c r="B25" s="14" t="s">
        <v>42</v>
      </c>
      <c r="C25" s="15" t="n">
        <f aca="false">SUM(C12:C24)</f>
        <v>2620</v>
      </c>
      <c r="D25" s="16"/>
    </row>
    <row r="27" customFormat="false" ht="15" hidden="false" customHeight="false" outlineLevel="0" collapsed="false">
      <c r="B27" s="10" t="s">
        <v>43</v>
      </c>
      <c r="C27" s="10" t="s">
        <v>18</v>
      </c>
      <c r="D27" s="10" t="s">
        <v>19</v>
      </c>
    </row>
    <row r="28" customFormat="false" ht="15" hidden="false" customHeight="false" outlineLevel="0" collapsed="false">
      <c r="B28" s="11" t="s">
        <v>44</v>
      </c>
      <c r="C28" s="12" t="n">
        <v>150</v>
      </c>
      <c r="D28" s="13" t="s">
        <v>45</v>
      </c>
    </row>
    <row r="29" customFormat="false" ht="15" hidden="false" customHeight="false" outlineLevel="0" collapsed="false">
      <c r="B29" s="11" t="s">
        <v>46</v>
      </c>
      <c r="C29" s="12" t="n">
        <v>150</v>
      </c>
      <c r="D29" s="13"/>
    </row>
    <row r="30" customFormat="false" ht="15" hidden="false" customHeight="false" outlineLevel="0" collapsed="false">
      <c r="B30" s="11" t="s">
        <v>47</v>
      </c>
      <c r="C30" s="12" t="n">
        <v>100</v>
      </c>
      <c r="D30" s="13"/>
    </row>
    <row r="31" customFormat="false" ht="15" hidden="false" customHeight="false" outlineLevel="0" collapsed="false">
      <c r="B31" s="14" t="s">
        <v>48</v>
      </c>
      <c r="C31" s="15" t="n">
        <f aca="false">SUM(C28:C30)</f>
        <v>400</v>
      </c>
      <c r="D31" s="16"/>
    </row>
    <row r="33" customFormat="false" ht="15" hidden="false" customHeight="false" outlineLevel="0" collapsed="false">
      <c r="B33" s="10" t="s">
        <v>49</v>
      </c>
      <c r="C33" s="17"/>
      <c r="D33" s="17"/>
    </row>
    <row r="34" customFormat="false" ht="15" hidden="false" customHeight="false" outlineLevel="0" collapsed="false">
      <c r="B34" s="11" t="s">
        <v>17</v>
      </c>
      <c r="C34" s="18" t="n">
        <f aca="false">C9</f>
        <v>5050</v>
      </c>
    </row>
    <row r="35" customFormat="false" ht="15" hidden="false" customHeight="false" outlineLevel="0" collapsed="false">
      <c r="B35" s="11" t="s">
        <v>50</v>
      </c>
      <c r="C35" s="18" t="n">
        <f aca="false">C25</f>
        <v>2620</v>
      </c>
    </row>
    <row r="36" customFormat="false" ht="15" hidden="false" customHeight="false" outlineLevel="0" collapsed="false">
      <c r="B36" s="11" t="s">
        <v>43</v>
      </c>
      <c r="C36" s="18" t="n">
        <f aca="false">C31</f>
        <v>400</v>
      </c>
    </row>
    <row r="37" customFormat="false" ht="15" hidden="false" customHeight="false" outlineLevel="0" collapsed="false">
      <c r="B37" s="19" t="s">
        <v>51</v>
      </c>
      <c r="C37" s="20" t="n">
        <f aca="false">C9-C25-C31</f>
        <v>2030</v>
      </c>
      <c r="D37" s="13" t="s">
        <v>52</v>
      </c>
    </row>
    <row r="38" customFormat="false" ht="15" hidden="false" customHeight="false" outlineLevel="0" collapsed="false">
      <c r="B38" s="11" t="s">
        <v>53</v>
      </c>
      <c r="C38" s="21" t="n">
        <f aca="false">IF(C9&gt;0,C31/C9,0)</f>
        <v>0.0792079207920792</v>
      </c>
      <c r="D38" s="1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8"/>
  </cols>
  <sheetData>
    <row r="2" customFormat="false" ht="19.7" hidden="false" customHeight="false" outlineLevel="0" collapsed="false">
      <c r="B2" s="8" t="s">
        <v>55</v>
      </c>
    </row>
    <row r="3" customFormat="false" ht="15" hidden="false" customHeight="false" outlineLevel="0" collapsed="false">
      <c r="B3" s="9" t="s">
        <v>56</v>
      </c>
    </row>
    <row r="5" customFormat="false" ht="15" hidden="false" customHeight="false" outlineLevel="0" collapsed="false">
      <c r="B5" s="11" t="s">
        <v>20</v>
      </c>
      <c r="C5" s="22" t="n">
        <f aca="false">'Budget du mois'!C6</f>
        <v>2800</v>
      </c>
    </row>
    <row r="6" customFormat="false" ht="15" hidden="false" customHeight="false" outlineLevel="0" collapsed="false">
      <c r="B6" s="11" t="s">
        <v>22</v>
      </c>
      <c r="C6" s="22" t="n">
        <f aca="false">'Budget du mois'!C7</f>
        <v>2100</v>
      </c>
    </row>
    <row r="7" customFormat="false" ht="15" hidden="false" customHeight="false" outlineLevel="0" collapsed="false">
      <c r="B7" s="11" t="s">
        <v>57</v>
      </c>
      <c r="C7" s="22" t="n">
        <f aca="false">'Budget du mois'!C25+'Budget du mois'!C31</f>
        <v>3020</v>
      </c>
    </row>
    <row r="9" customFormat="false" ht="31.5" hidden="false" customHeight="true" outlineLevel="0" collapsed="false">
      <c r="B9" s="23" t="s">
        <v>58</v>
      </c>
      <c r="C9" s="23" t="s">
        <v>59</v>
      </c>
      <c r="D9" s="23" t="s">
        <v>60</v>
      </c>
      <c r="E9" s="23" t="s">
        <v>61</v>
      </c>
      <c r="F9" s="23" t="s">
        <v>62</v>
      </c>
      <c r="G9" s="23" t="s">
        <v>63</v>
      </c>
    </row>
    <row r="10" customFormat="false" ht="15" hidden="false" customHeight="false" outlineLevel="0" collapsed="false">
      <c r="B10" s="19" t="s">
        <v>64</v>
      </c>
      <c r="C10" s="24" t="n">
        <f aca="false">C7/2</f>
        <v>1510</v>
      </c>
      <c r="D10" s="24" t="n">
        <f aca="false">C7/2</f>
        <v>1510</v>
      </c>
      <c r="E10" s="24" t="n">
        <f aca="false">C5-C10</f>
        <v>1290</v>
      </c>
      <c r="F10" s="24" t="n">
        <f aca="false">C6-D10</f>
        <v>590</v>
      </c>
      <c r="G10" s="24" t="n">
        <f aca="false">ABS(E10-F10)</f>
        <v>700</v>
      </c>
    </row>
    <row r="11" customFormat="false" ht="15" hidden="false" customHeight="false" outlineLevel="0" collapsed="false">
      <c r="B11" s="25" t="s">
        <v>65</v>
      </c>
      <c r="C11" s="26" t="n">
        <f aca="false">IF(C5+C6&gt;0,C7*C5/(C5+C6),C7/2)</f>
        <v>1725.71428571429</v>
      </c>
      <c r="D11" s="26" t="n">
        <f aca="false">IF(C5+C6&gt;0,C7*C6/(C5+C6),C7/2)</f>
        <v>1294.28571428571</v>
      </c>
      <c r="E11" s="26" t="n">
        <f aca="false">C5-C11</f>
        <v>1074.28571428571</v>
      </c>
      <c r="F11" s="26" t="n">
        <f aca="false">C6-D11</f>
        <v>805.714285714286</v>
      </c>
      <c r="G11" s="26" t="n">
        <f aca="false">ABS(E11-F11)</f>
        <v>268.571428571428</v>
      </c>
    </row>
    <row r="12" customFormat="false" ht="15" hidden="false" customHeight="false" outlineLevel="0" collapsed="false">
      <c r="B12" s="19" t="s">
        <v>66</v>
      </c>
      <c r="C12" s="24" t="n">
        <f aca="false">MAX(0,MIN(C7,(C5-C6+C7)/2))</f>
        <v>1860</v>
      </c>
      <c r="D12" s="24" t="n">
        <f aca="false">C7-C12</f>
        <v>1160</v>
      </c>
      <c r="E12" s="24" t="n">
        <f aca="false">C5-C12</f>
        <v>940</v>
      </c>
      <c r="F12" s="24" t="n">
        <f aca="false">C6-D12</f>
        <v>940</v>
      </c>
      <c r="G12" s="24" t="n">
        <f aca="false">ABS(E12-F12)</f>
        <v>0</v>
      </c>
    </row>
    <row r="14" customFormat="false" ht="15" hidden="false" customHeight="false" outlineLevel="0" collapsed="false">
      <c r="B14" s="13" t="s">
        <v>67</v>
      </c>
    </row>
    <row r="15" customFormat="false" ht="15" hidden="false" customHeight="false" outlineLevel="0" collapsed="false">
      <c r="B15" s="13" t="s">
        <v>68</v>
      </c>
    </row>
    <row r="16" customFormat="false" ht="15" hidden="false" customHeight="false" outlineLevel="0" collapsed="false">
      <c r="B16" s="1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9" min="3" style="0" width="17"/>
  </cols>
  <sheetData>
    <row r="2" customFormat="false" ht="19.7" hidden="false" customHeight="false" outlineLevel="0" collapsed="false">
      <c r="B2" s="8" t="s">
        <v>70</v>
      </c>
    </row>
    <row r="3" customFormat="false" ht="15" hidden="false" customHeight="false" outlineLevel="0" collapsed="false">
      <c r="B3" s="9" t="s">
        <v>71</v>
      </c>
    </row>
    <row r="5" customFormat="false" ht="31.5" hidden="false" customHeight="true" outlineLevel="0" collapsed="false">
      <c r="B5" s="23" t="s">
        <v>72</v>
      </c>
      <c r="C5" s="23" t="s">
        <v>17</v>
      </c>
      <c r="D5" s="23" t="s">
        <v>73</v>
      </c>
      <c r="E5" s="23" t="s">
        <v>50</v>
      </c>
      <c r="F5" s="23" t="s">
        <v>74</v>
      </c>
      <c r="G5" s="23" t="s">
        <v>43</v>
      </c>
      <c r="H5" s="23" t="s">
        <v>51</v>
      </c>
      <c r="I5" s="23" t="s">
        <v>75</v>
      </c>
    </row>
    <row r="6" customFormat="false" ht="15" hidden="false" customHeight="false" outlineLevel="0" collapsed="false">
      <c r="B6" s="19" t="s">
        <v>76</v>
      </c>
      <c r="C6" s="27" t="n">
        <f aca="false">'Budget du mois'!$C$9</f>
        <v>5050</v>
      </c>
      <c r="D6" s="12" t="n">
        <v>0</v>
      </c>
      <c r="E6" s="27" t="n">
        <f aca="false">'Budget du mois'!$C$25</f>
        <v>2620</v>
      </c>
      <c r="F6" s="12" t="n">
        <v>0</v>
      </c>
      <c r="G6" s="27" t="n">
        <f aca="false">'Budget du mois'!$C$31</f>
        <v>400</v>
      </c>
      <c r="H6" s="24" t="n">
        <f aca="false">C6+D6-E6-F6-G6</f>
        <v>2030</v>
      </c>
      <c r="I6" s="28" t="n">
        <f aca="false">H6</f>
        <v>2030</v>
      </c>
    </row>
    <row r="7" customFormat="false" ht="15" hidden="false" customHeight="false" outlineLevel="0" collapsed="false">
      <c r="B7" s="19" t="s">
        <v>77</v>
      </c>
      <c r="C7" s="27" t="n">
        <f aca="false">'Budget du mois'!$C$9</f>
        <v>5050</v>
      </c>
      <c r="D7" s="12" t="n">
        <v>0</v>
      </c>
      <c r="E7" s="27" t="n">
        <f aca="false">'Budget du mois'!$C$25</f>
        <v>2620</v>
      </c>
      <c r="F7" s="12" t="n">
        <v>0</v>
      </c>
      <c r="G7" s="27" t="n">
        <f aca="false">'Budget du mois'!$C$31</f>
        <v>400</v>
      </c>
      <c r="H7" s="24" t="n">
        <f aca="false">C7+D7-E7-F7-G7</f>
        <v>2030</v>
      </c>
      <c r="I7" s="28" t="n">
        <f aca="false">I6+H7</f>
        <v>4060</v>
      </c>
    </row>
    <row r="8" customFormat="false" ht="15" hidden="false" customHeight="false" outlineLevel="0" collapsed="false">
      <c r="B8" s="19" t="s">
        <v>78</v>
      </c>
      <c r="C8" s="27" t="n">
        <f aca="false">'Budget du mois'!$C$9</f>
        <v>5050</v>
      </c>
      <c r="D8" s="12" t="n">
        <v>0</v>
      </c>
      <c r="E8" s="27" t="n">
        <f aca="false">'Budget du mois'!$C$25</f>
        <v>2620</v>
      </c>
      <c r="F8" s="12" t="n">
        <v>0</v>
      </c>
      <c r="G8" s="27" t="n">
        <f aca="false">'Budget du mois'!$C$31</f>
        <v>400</v>
      </c>
      <c r="H8" s="24" t="n">
        <f aca="false">C8+D8-E8-F8-G8</f>
        <v>2030</v>
      </c>
      <c r="I8" s="28" t="n">
        <f aca="false">I7+H8</f>
        <v>6090</v>
      </c>
    </row>
    <row r="9" customFormat="false" ht="15" hidden="false" customHeight="false" outlineLevel="0" collapsed="false">
      <c r="B9" s="19" t="s">
        <v>79</v>
      </c>
      <c r="C9" s="27" t="n">
        <f aca="false">'Budget du mois'!$C$9</f>
        <v>5050</v>
      </c>
      <c r="D9" s="12" t="n">
        <v>0</v>
      </c>
      <c r="E9" s="27" t="n">
        <f aca="false">'Budget du mois'!$C$25</f>
        <v>2620</v>
      </c>
      <c r="F9" s="12" t="n">
        <v>0</v>
      </c>
      <c r="G9" s="27" t="n">
        <f aca="false">'Budget du mois'!$C$31</f>
        <v>400</v>
      </c>
      <c r="H9" s="24" t="n">
        <f aca="false">C9+D9-E9-F9-G9</f>
        <v>2030</v>
      </c>
      <c r="I9" s="28" t="n">
        <f aca="false">I8+H9</f>
        <v>8120</v>
      </c>
    </row>
    <row r="10" customFormat="false" ht="15" hidden="false" customHeight="false" outlineLevel="0" collapsed="false">
      <c r="B10" s="19" t="s">
        <v>80</v>
      </c>
      <c r="C10" s="27" t="n">
        <f aca="false">'Budget du mois'!$C$9</f>
        <v>5050</v>
      </c>
      <c r="D10" s="12" t="n">
        <v>0</v>
      </c>
      <c r="E10" s="27" t="n">
        <f aca="false">'Budget du mois'!$C$25</f>
        <v>2620</v>
      </c>
      <c r="F10" s="12" t="n">
        <v>0</v>
      </c>
      <c r="G10" s="27" t="n">
        <f aca="false">'Budget du mois'!$C$31</f>
        <v>400</v>
      </c>
      <c r="H10" s="24" t="n">
        <f aca="false">C10+D10-E10-F10-G10</f>
        <v>2030</v>
      </c>
      <c r="I10" s="28" t="n">
        <f aca="false">I9+H10</f>
        <v>10150</v>
      </c>
    </row>
    <row r="11" customFormat="false" ht="15" hidden="false" customHeight="false" outlineLevel="0" collapsed="false">
      <c r="B11" s="19" t="s">
        <v>81</v>
      </c>
      <c r="C11" s="27" t="n">
        <f aca="false">'Budget du mois'!$C$9</f>
        <v>5050</v>
      </c>
      <c r="D11" s="12" t="n">
        <v>300</v>
      </c>
      <c r="E11" s="27" t="n">
        <f aca="false">'Budget du mois'!$C$25</f>
        <v>2620</v>
      </c>
      <c r="F11" s="12" t="n">
        <v>0</v>
      </c>
      <c r="G11" s="27" t="n">
        <f aca="false">'Budget du mois'!$C$31</f>
        <v>400</v>
      </c>
      <c r="H11" s="24" t="n">
        <f aca="false">C11+D11-E11-F11-G11</f>
        <v>2330</v>
      </c>
      <c r="I11" s="28" t="n">
        <f aca="false">I10+H11</f>
        <v>12480</v>
      </c>
    </row>
    <row r="12" customFormat="false" ht="15" hidden="false" customHeight="false" outlineLevel="0" collapsed="false">
      <c r="B12" s="19" t="s">
        <v>82</v>
      </c>
      <c r="C12" s="27" t="n">
        <f aca="false">'Budget du mois'!$C$9</f>
        <v>5050</v>
      </c>
      <c r="D12" s="12" t="n">
        <v>0</v>
      </c>
      <c r="E12" s="27" t="n">
        <f aca="false">'Budget du mois'!$C$25</f>
        <v>2620</v>
      </c>
      <c r="F12" s="12" t="n">
        <v>0</v>
      </c>
      <c r="G12" s="27" t="n">
        <f aca="false">'Budget du mois'!$C$31</f>
        <v>400</v>
      </c>
      <c r="H12" s="24" t="n">
        <f aca="false">C12+D12-E12-F12-G12</f>
        <v>2030</v>
      </c>
      <c r="I12" s="28" t="n">
        <f aca="false">I11+H12</f>
        <v>14510</v>
      </c>
    </row>
    <row r="13" customFormat="false" ht="15" hidden="false" customHeight="false" outlineLevel="0" collapsed="false">
      <c r="B13" s="19" t="s">
        <v>83</v>
      </c>
      <c r="C13" s="27" t="n">
        <f aca="false">'Budget du mois'!$C$9</f>
        <v>5050</v>
      </c>
      <c r="D13" s="12" t="n">
        <v>0</v>
      </c>
      <c r="E13" s="27" t="n">
        <f aca="false">'Budget du mois'!$C$25</f>
        <v>2620</v>
      </c>
      <c r="F13" s="12" t="n">
        <v>0</v>
      </c>
      <c r="G13" s="27" t="n">
        <f aca="false">'Budget du mois'!$C$31</f>
        <v>400</v>
      </c>
      <c r="H13" s="24" t="n">
        <f aca="false">C13+D13-E13-F13-G13</f>
        <v>2030</v>
      </c>
      <c r="I13" s="28" t="n">
        <f aca="false">I12+H13</f>
        <v>16540</v>
      </c>
    </row>
    <row r="14" customFormat="false" ht="15" hidden="false" customHeight="false" outlineLevel="0" collapsed="false">
      <c r="B14" s="19" t="s">
        <v>84</v>
      </c>
      <c r="C14" s="27" t="n">
        <f aca="false">'Budget du mois'!$C$9</f>
        <v>5050</v>
      </c>
      <c r="D14" s="12" t="n">
        <v>0</v>
      </c>
      <c r="E14" s="27" t="n">
        <f aca="false">'Budget du mois'!$C$25</f>
        <v>2620</v>
      </c>
      <c r="F14" s="12" t="n">
        <v>0</v>
      </c>
      <c r="G14" s="27" t="n">
        <f aca="false">'Budget du mois'!$C$31</f>
        <v>400</v>
      </c>
      <c r="H14" s="24" t="n">
        <f aca="false">C14+D14-E14-F14-G14</f>
        <v>2030</v>
      </c>
      <c r="I14" s="28" t="n">
        <f aca="false">I13+H14</f>
        <v>18570</v>
      </c>
    </row>
    <row r="15" customFormat="false" ht="15" hidden="false" customHeight="false" outlineLevel="0" collapsed="false">
      <c r="B15" s="19" t="s">
        <v>85</v>
      </c>
      <c r="C15" s="27" t="n">
        <f aca="false">'Budget du mois'!$C$9</f>
        <v>5050</v>
      </c>
      <c r="D15" s="12" t="n">
        <v>0</v>
      </c>
      <c r="E15" s="27" t="n">
        <f aca="false">'Budget du mois'!$C$25</f>
        <v>2620</v>
      </c>
      <c r="F15" s="12" t="n">
        <v>980</v>
      </c>
      <c r="G15" s="27" t="n">
        <f aca="false">'Budget du mois'!$C$31</f>
        <v>400</v>
      </c>
      <c r="H15" s="24" t="n">
        <f aca="false">C15+D15-E15-F15-G15</f>
        <v>1050</v>
      </c>
      <c r="I15" s="28" t="n">
        <f aca="false">I14+H15</f>
        <v>19620</v>
      </c>
    </row>
    <row r="16" customFormat="false" ht="15" hidden="false" customHeight="false" outlineLevel="0" collapsed="false">
      <c r="B16" s="19" t="s">
        <v>86</v>
      </c>
      <c r="C16" s="27" t="n">
        <f aca="false">'Budget du mois'!$C$9</f>
        <v>5050</v>
      </c>
      <c r="D16" s="12" t="n">
        <v>0</v>
      </c>
      <c r="E16" s="27" t="n">
        <f aca="false">'Budget du mois'!$C$25</f>
        <v>2620</v>
      </c>
      <c r="F16" s="12" t="n">
        <v>0</v>
      </c>
      <c r="G16" s="27" t="n">
        <f aca="false">'Budget du mois'!$C$31</f>
        <v>400</v>
      </c>
      <c r="H16" s="24" t="n">
        <f aca="false">C16+D16-E16-F16-G16</f>
        <v>2030</v>
      </c>
      <c r="I16" s="28" t="n">
        <f aca="false">I15+H16</f>
        <v>21650</v>
      </c>
    </row>
    <row r="17" customFormat="false" ht="15" hidden="false" customHeight="false" outlineLevel="0" collapsed="false">
      <c r="B17" s="19" t="s">
        <v>87</v>
      </c>
      <c r="C17" s="27" t="n">
        <f aca="false">'Budget du mois'!$C$9</f>
        <v>5050</v>
      </c>
      <c r="D17" s="12" t="n">
        <v>0</v>
      </c>
      <c r="E17" s="27" t="n">
        <f aca="false">'Budget du mois'!$C$25</f>
        <v>2620</v>
      </c>
      <c r="F17" s="12" t="n">
        <v>0</v>
      </c>
      <c r="G17" s="27" t="n">
        <f aca="false">'Budget du mois'!$C$31</f>
        <v>400</v>
      </c>
      <c r="H17" s="24" t="n">
        <f aca="false">C17+D17-E17-F17-G17</f>
        <v>2030</v>
      </c>
      <c r="I17" s="28" t="n">
        <f aca="false">I16+H17</f>
        <v>23680</v>
      </c>
    </row>
    <row r="18" customFormat="false" ht="15" hidden="false" customHeight="false" outlineLevel="0" collapsed="false">
      <c r="B18" s="14" t="s">
        <v>88</v>
      </c>
      <c r="C18" s="15" t="n">
        <f aca="false">SUM(C6:C17)</f>
        <v>60600</v>
      </c>
      <c r="D18" s="15" t="n">
        <f aca="false">SUM(D6:D17)</f>
        <v>300</v>
      </c>
      <c r="E18" s="15" t="n">
        <f aca="false">SUM(E6:E17)</f>
        <v>31440</v>
      </c>
      <c r="F18" s="15" t="n">
        <f aca="false">SUM(F6:F17)</f>
        <v>980</v>
      </c>
      <c r="G18" s="15" t="n">
        <f aca="false">SUM(G6:G17)</f>
        <v>4800</v>
      </c>
      <c r="H18" s="15" t="n">
        <f aca="false">SUM(H6:H17)</f>
        <v>23680</v>
      </c>
      <c r="I18" s="16"/>
    </row>
    <row r="20" customFormat="false" ht="15" hidden="false" customHeight="false" outlineLevel="0" collapsed="false">
      <c r="B20" s="19" t="s">
        <v>89</v>
      </c>
      <c r="F20" s="20" t="n">
        <f aca="false">G18</f>
        <v>4800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2026-10-03T13:57:15Z</dcterms:created>
  <dc:creator>openpyxl</dc:creator>
  <dc:description/>
  <dc:language>en-US</dc:language>
  <cp:lastModifiedBy/>
  <dcterms:modified xsi:type="dcterms:W3CDTF">2026-10-03T13:57:15Z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