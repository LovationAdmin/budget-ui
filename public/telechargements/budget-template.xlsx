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Monthly budget" sheetId="2" state="visible" r:id="rId2"/>
    <sheet xmlns:r="http://schemas.openxmlformats.org/officeDocument/2006/relationships" name="Joint pot" sheetId="3" state="visible" r:id="rId3"/>
    <sheet xmlns:r="http://schemas.openxmlformats.org/officeDocument/2006/relationships" name="Year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#,##0&quot; €&quot;;\-#,##0&quot; €&quot;;\-"/>
    <numFmt numFmtId="165" formatCode="0.0%;\-0.0%;\-"/>
    <numFmt numFmtId="166" formatCode="#,##0;\-#,##0;\-"/>
  </numFmts>
  <fonts count="17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4202E"/>
      <sz val="18"/>
    </font>
    <font>
      <name val="Arial"/>
      <charset val="1"/>
      <family val="0"/>
      <color rgb="FF5F6878"/>
      <sz val="11"/>
    </font>
    <font>
      <name val="Arial"/>
      <charset val="1"/>
      <family val="0"/>
      <b val="1"/>
      <sz val="13"/>
    </font>
    <font>
      <name val="Arial"/>
      <charset val="1"/>
      <family val="0"/>
      <sz val="11"/>
    </font>
    <font>
      <name val="Arial"/>
      <charset val="1"/>
      <family val="0"/>
      <b val="1"/>
      <color rgb="FF1F7FB4"/>
      <sz val="12"/>
    </font>
    <font>
      <name val="Arial"/>
      <charset val="1"/>
      <family val="0"/>
      <color rgb="FF1F7FB4"/>
      <sz val="11"/>
      <u val="single"/>
    </font>
    <font>
      <name val="Arial"/>
      <charset val="1"/>
      <family val="0"/>
      <b val="1"/>
      <sz val="16"/>
    </font>
    <font>
      <name val="Arial"/>
      <charset val="1"/>
      <family val="0"/>
      <b val="1"/>
      <color rgb="FFFFFFFF"/>
      <sz val="11"/>
    </font>
    <font>
      <name val="Arial"/>
      <charset val="1"/>
      <family val="0"/>
      <color rgb="FF0000FF"/>
      <sz val="11"/>
    </font>
    <font>
      <name val="Arial"/>
      <charset val="1"/>
      <family val="0"/>
      <color rgb="FF5F6878"/>
      <sz val="10"/>
    </font>
    <font>
      <name val="Arial"/>
      <charset val="1"/>
      <family val="0"/>
      <b val="1"/>
      <sz val="11"/>
    </font>
    <font>
      <name val="Arial"/>
      <charset val="1"/>
      <family val="0"/>
      <color rgb="FF008000"/>
      <sz val="11"/>
    </font>
    <font>
      <name val="Arial"/>
      <family val="2"/>
      <sz val="10"/>
    </font>
  </fonts>
  <fills count="6">
    <fill>
      <patternFill/>
    </fill>
    <fill>
      <patternFill patternType="gray125"/>
    </fill>
    <fill>
      <patternFill patternType="solid">
        <fgColor rgb="FF1F9CD9"/>
        <bgColor rgb="FF1F7FB4"/>
      </patternFill>
    </fill>
    <fill>
      <patternFill patternType="solid">
        <fgColor rgb="FFFFF4C2"/>
        <bgColor rgb="FFFFFF99"/>
      </patternFill>
    </fill>
    <fill>
      <patternFill patternType="solid">
        <fgColor rgb="FFE8F5EE"/>
        <bgColor rgb="FFEEF7FC"/>
      </patternFill>
    </fill>
    <fill>
      <patternFill patternType="solid">
        <fgColor rgb="FFEEF7FC"/>
        <bgColor rgb="FFE8F5EE"/>
      </patternFill>
    </fill>
  </fills>
  <borders count="2">
    <border>
      <left/>
      <right/>
      <top/>
      <bottom/>
      <diagonal/>
    </border>
    <border>
      <left style="thin">
        <color rgb="FFD9DEE5"/>
      </left>
      <right style="thin">
        <color rgb="FFD9DEE5"/>
      </right>
      <top style="thin">
        <color rgb="FFD9DEE5"/>
      </top>
      <bottom style="thin">
        <color rgb="FFD9DEE5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top" wrapText="1"/>
    </xf>
    <xf numFmtId="0" fontId="9" fillId="0" borderId="0" applyAlignment="1" pivotButton="0" quotePrefix="0" xfId="0">
      <alignment horizontal="general" vertical="top" wrapText="1"/>
    </xf>
    <xf numFmtId="0" fontId="1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11" fillId="2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164" fontId="12" fillId="3" borderId="1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14" fillId="4" borderId="0" applyAlignment="1" pivotButton="0" quotePrefix="0" xfId="0">
      <alignment horizontal="general" vertical="bottom"/>
    </xf>
    <xf numFmtId="164" fontId="14" fillId="4" borderId="0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164" fontId="7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164" fontId="14" fillId="0" borderId="0" applyAlignment="1" pivotButton="0" quotePrefix="0" xfId="0">
      <alignment horizontal="general" vertical="bottom"/>
    </xf>
    <xf numFmtId="165" fontId="7" fillId="0" borderId="0" applyAlignment="1" pivotButton="0" quotePrefix="0" xfId="0">
      <alignment horizontal="general" vertical="bottom"/>
    </xf>
    <xf numFmtId="164" fontId="15" fillId="0" borderId="0" applyAlignment="1" pivotButton="0" quotePrefix="0" xfId="0">
      <alignment horizontal="general" vertical="bottom"/>
    </xf>
    <xf numFmtId="0" fontId="11" fillId="2" borderId="0" applyAlignment="1" pivotButton="0" quotePrefix="0" xfId="0">
      <alignment horizontal="general" vertical="center" wrapText="1"/>
    </xf>
    <xf numFmtId="164" fontId="7" fillId="0" borderId="1" applyAlignment="1" pivotButton="0" quotePrefix="0" xfId="0">
      <alignment horizontal="general" vertical="bottom"/>
    </xf>
    <xf numFmtId="0" fontId="14" fillId="5" borderId="0" applyAlignment="1" pivotButton="0" quotePrefix="0" xfId="0">
      <alignment horizontal="general" vertical="bottom"/>
    </xf>
    <xf numFmtId="164" fontId="7" fillId="5" borderId="1" applyAlignment="1" pivotButton="0" quotePrefix="0" xfId="0">
      <alignment horizontal="general" vertical="bottom"/>
    </xf>
    <xf numFmtId="164" fontId="15" fillId="0" borderId="1" applyAlignment="1" pivotButton="0" quotePrefix="0" xfId="0">
      <alignment horizontal="general" vertical="bottom"/>
    </xf>
    <xf numFmtId="164" fontId="14" fillId="0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top" wrapText="1"/>
    </xf>
    <xf numFmtId="0" fontId="9" fillId="0" borderId="0" applyAlignment="1" pivotButton="0" quotePrefix="0" xfId="0">
      <alignment horizontal="general" vertical="top" wrapText="1"/>
    </xf>
    <xf numFmtId="0" fontId="1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11" fillId="2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166" fontId="12" fillId="3" borderId="1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14" fillId="4" borderId="0" applyAlignment="1" pivotButton="0" quotePrefix="0" xfId="0">
      <alignment horizontal="general" vertical="bottom"/>
    </xf>
    <xf numFmtId="166" fontId="14" fillId="4" borderId="0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166" fontId="7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166" fontId="14" fillId="0" borderId="0" applyAlignment="1" pivotButton="0" quotePrefix="0" xfId="0">
      <alignment horizontal="general" vertical="bottom"/>
    </xf>
    <xf numFmtId="165" fontId="7" fillId="0" borderId="0" applyAlignment="1" pivotButton="0" quotePrefix="0" xfId="0">
      <alignment horizontal="general" vertical="bottom"/>
    </xf>
    <xf numFmtId="166" fontId="15" fillId="0" borderId="0" applyAlignment="1" pivotButton="0" quotePrefix="0" xfId="0">
      <alignment horizontal="general" vertical="bottom"/>
    </xf>
    <xf numFmtId="0" fontId="11" fillId="2" borderId="0" applyAlignment="1" pivotButton="0" quotePrefix="0" xfId="0">
      <alignment horizontal="general" vertical="center" wrapText="1"/>
    </xf>
    <xf numFmtId="166" fontId="7" fillId="0" borderId="1" applyAlignment="1" pivotButton="0" quotePrefix="0" xfId="0">
      <alignment horizontal="general" vertical="bottom"/>
    </xf>
    <xf numFmtId="0" fontId="14" fillId="5" borderId="0" applyAlignment="1" pivotButton="0" quotePrefix="0" xfId="0">
      <alignment horizontal="general" vertical="bottom"/>
    </xf>
    <xf numFmtId="166" fontId="7" fillId="5" borderId="1" applyAlignment="1" pivotButton="0" quotePrefix="0" xfId="0">
      <alignment horizontal="general" vertical="bottom"/>
    </xf>
    <xf numFmtId="166" fontId="15" fillId="0" borderId="1" applyAlignment="1" pivotButton="0" quotePrefix="0" xfId="0">
      <alignment horizontal="general" vertical="bottom"/>
    </xf>
    <xf numFmtId="166" fontId="14" fillId="0" borderId="1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7FB4"/>
      <rgbColor rgb="FFC0C0C0"/>
      <rgbColor rgb="FF808080"/>
      <rgbColor rgb="FF9999FF"/>
      <rgbColor rgb="FF993366"/>
      <rgbColor rgb="FFFFF4C2"/>
      <rgbColor rgb="FFE8F5EE"/>
      <rgbColor rgb="FF660066"/>
      <rgbColor rgb="FFFF8080"/>
      <rgbColor rgb="FF0066CC"/>
      <rgbColor rgb="FFD9DE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7FC"/>
      <rgbColor rgb="FFCCFFCC"/>
      <rgbColor rgb="FFFFFF99"/>
      <rgbColor rgb="FF99CCFF"/>
      <rgbColor rgb="FFFF99CC"/>
      <rgbColor rgb="FFCC99FF"/>
      <rgbColor rgb="FFFFCC99"/>
      <rgbColor rgb="FF3366FF"/>
      <rgbColor rgb="FF1F9CD9"/>
      <rgbColor rgb="FF99CC00"/>
      <rgbColor rgb="FFFFCC00"/>
      <rgbColor rgb="FFFF9900"/>
      <rgbColor rgb="FFFF6600"/>
      <rgbColor rgb="FF5F6878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4202E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Unknown Author</author>
  </authors>
  <commentList>
    <comment ref="D11" authorId="0" shapeId="0">
      <text>
        <t>Exemple : prime de juin.</t>
      </text>
    </comment>
    <comment ref="F15" authorId="0" shapeId="0">
      <text>
        <t>Exemple : taxe foncière payée en octobre.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budgetfamille.com/signup?utm_source=excel&amp;utm_medium=template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20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zeroHeight="0" outlineLevelRow="0"/>
  <cols>
    <col width="3" customWidth="1" style="29" min="1" max="1"/>
    <col width="95" customWidth="1" style="29" min="2" max="2"/>
  </cols>
  <sheetData>
    <row r="1"/>
    <row r="2" ht="22.05" customHeight="1" s="30">
      <c r="B2" s="31" t="inlineStr">
        <is>
          <t>Free family budget template</t>
        </is>
      </c>
    </row>
    <row r="3" ht="15" customHeight="1" s="30">
      <c r="B3" s="32" t="inlineStr">
        <is>
          <t>From Budget Famille: budgetfamille.com/en</t>
        </is>
      </c>
    </row>
    <row r="4" ht="15" customHeight="1" s="30">
      <c r="B4" s="33" t="n"/>
    </row>
    <row r="5" ht="16.15" customHeight="1" s="30">
      <c r="B5" s="34" t="inlineStr">
        <is>
          <t>How to use it</t>
        </is>
      </c>
    </row>
    <row r="6" ht="15" customHeight="1" s="30">
      <c r="B6" s="35" t="inlineStr">
        <is>
          <t>1. “Monthly budget” tab: replace the amounts in the yellow cells with yours (take-home pay, bills, savings).</t>
        </is>
      </c>
    </row>
    <row r="7" ht="26.85" customHeight="1" s="30">
      <c r="B7" s="35" t="inlineStr">
        <is>
          <t>2. “Joint pot” tab: if you’re a couple, compare the 3 ways to split (50/50, in proportion to income, same spending money).</t>
        </is>
      </c>
    </row>
    <row r="8" ht="26.85" customHeight="1" s="30">
      <c r="B8" s="35" t="inlineStr">
        <is>
          <t>3. “Year” tab: add the bills that come once a year (property tax, car insurance…) in the yellow column of the right month.</t>
        </is>
      </c>
    </row>
    <row r="9" ht="15" customHeight="1" s="30">
      <c r="B9" s="33" t="n"/>
    </row>
    <row r="10" ht="16.15" customHeight="1" s="30">
      <c r="B10" s="34" t="inlineStr">
        <is>
          <t>Key</t>
        </is>
      </c>
    </row>
    <row r="11" ht="15" customHeight="1" s="30">
      <c r="B11" s="35" t="inlineStr">
        <is>
          <t>Yellow cells: fill in with your numbers (the amounts already there are an example: Alex and Sam).</t>
        </is>
      </c>
    </row>
    <row r="12" ht="15" customHeight="1" s="30">
      <c r="B12" s="35" t="inlineStr">
        <is>
          <t>Green text: value taken from another tab. Black text: automatic calculation, don’t change it.</t>
        </is>
      </c>
    </row>
    <row r="13" ht="15" customHeight="1" s="30">
      <c r="B13" s="33" t="n"/>
    </row>
    <row r="14" ht="16.15" customHeight="1" s="30">
      <c r="B14" s="34" t="inlineStr">
        <is>
          <t>Words to know</t>
        </is>
      </c>
    </row>
    <row r="15" ht="15" customHeight="1" s="30">
      <c r="B15" s="35" t="inlineStr">
        <is>
          <t>Joint pot: the money each person pays in to cover the household’s bills and shared savings.</t>
        </is>
      </c>
    </row>
    <row r="16" ht="15" customHeight="1" s="30">
      <c r="B16" s="35" t="inlineStr">
        <is>
          <t>Spending money: what each person has left after their share of the joint pot, to spend as they like.</t>
        </is>
      </c>
    </row>
    <row r="17" ht="15" customHeight="1" s="30">
      <c r="B17" s="35" t="inlineStr">
        <is>
          <t>Left for the month: what the household has left once bills and savings are paid (everyone’s spending money included).</t>
        </is>
      </c>
    </row>
    <row r="18" ht="15" customHeight="1" s="30">
      <c r="B18" s="33" t="n"/>
    </row>
    <row r="19" ht="15" customHeight="1" s="30">
      <c r="B19" s="36" t="inlineStr">
        <is>
          <t>Want it all worked out for you, shared with others, on your phone?</t>
        </is>
      </c>
    </row>
    <row r="20" ht="15" customHeight="1" s="30">
      <c r="B20" s="37" t="inlineStr">
        <is>
          <t>Budget Famille does the same automatically every month, for free: https://www.budgetfamille.com/en</t>
        </is>
      </c>
    </row>
  </sheetData>
  <hyperlinks>
    <hyperlink xmlns:r="http://schemas.openxmlformats.org/officeDocument/2006/relationships" ref="B20" display="Budget Famille fait la même chose automatiquement chaque mois, gratuitement : https://www.budgetfamille.com/signup" r:id="rId1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D3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baseColWidth="8" defaultColWidth="8.5390625" defaultRowHeight="15" zeroHeight="0" outlineLevelRow="0"/>
  <cols>
    <col width="3" customWidth="1" style="29" min="1" max="1"/>
    <col width="38" customWidth="1" style="29" min="2" max="2"/>
    <col width="18" customWidth="1" style="29" min="3" max="3"/>
    <col width="44" customWidth="1" style="29" min="4" max="4"/>
  </cols>
  <sheetData>
    <row r="1"/>
    <row r="2" ht="19.7" customHeight="1" s="30">
      <c r="B2" s="38" t="inlineStr">
        <is>
          <t>Monthly budget</t>
        </is>
      </c>
    </row>
    <row r="3" ht="15" customHeight="1" s="30">
      <c r="B3" s="39" t="inlineStr">
        <is>
          <t>Replace the yellow cells with your amounts. Totals work themselves out.</t>
        </is>
      </c>
    </row>
    <row r="4"/>
    <row r="5" ht="15" customHeight="1" s="30">
      <c r="B5" s="40" t="inlineStr">
        <is>
          <t>Income</t>
        </is>
      </c>
      <c r="C5" s="40" t="inlineStr">
        <is>
          <t>Monthly amount</t>
        </is>
      </c>
      <c r="D5" s="40" t="inlineStr">
        <is>
          <t>Note</t>
        </is>
      </c>
    </row>
    <row r="6" ht="15" customHeight="1" s="30">
      <c r="B6" s="41" t="inlineStr">
        <is>
          <t>Take-home pay: person 1</t>
        </is>
      </c>
      <c r="C6" s="42" t="n">
        <v>2800</v>
      </c>
      <c r="D6" s="43" t="inlineStr">
        <is>
          <t>Example: Alex</t>
        </is>
      </c>
    </row>
    <row r="7" ht="15" customHeight="1" s="30">
      <c r="B7" s="41" t="inlineStr">
        <is>
          <t>Take-home pay: person 2</t>
        </is>
      </c>
      <c r="C7" s="42" t="n">
        <v>2100</v>
      </c>
      <c r="D7" s="43" t="inlineStr">
        <is>
          <t>Example: Sam. Enter 0 if you’re on your own.</t>
        </is>
      </c>
    </row>
    <row r="8" ht="15" customHeight="1" s="30">
      <c r="B8" s="41" t="inlineStr">
        <is>
          <t>Other income</t>
        </is>
      </c>
      <c r="C8" s="42" t="n">
        <v>150</v>
      </c>
      <c r="D8" s="43" t="inlineStr">
        <is>
          <t>Benefits, bonuses, rental income…</t>
        </is>
      </c>
    </row>
    <row r="9" ht="15" customHeight="1" s="30">
      <c r="B9" s="44" t="inlineStr">
        <is>
          <t>Total income</t>
        </is>
      </c>
      <c r="C9" s="45">
        <f>SUM(C6:C8)</f>
        <v/>
      </c>
      <c r="D9" s="46" t="n"/>
    </row>
    <row r="10"/>
    <row r="11" ht="15" customHeight="1" s="30">
      <c r="B11" s="40" t="inlineStr">
        <is>
          <t>Household bills</t>
        </is>
      </c>
      <c r="C11" s="40" t="inlineStr">
        <is>
          <t>Monthly amount</t>
        </is>
      </c>
      <c r="D11" s="40" t="inlineStr">
        <is>
          <t>Note</t>
        </is>
      </c>
    </row>
    <row r="12" ht="15" customHeight="1" s="30">
      <c r="B12" s="41" t="inlineStr">
        <is>
          <t>Housing (rent or mortgage)</t>
        </is>
      </c>
      <c r="C12" s="42" t="n">
        <v>1150</v>
      </c>
      <c r="D12" s="43" t="n"/>
    </row>
    <row r="13" ht="15" customHeight="1" s="30">
      <c r="B13" s="41" t="inlineStr">
        <is>
          <t>Energy (electricity, gas)</t>
        </is>
      </c>
      <c r="C13" s="42" t="n">
        <v>110</v>
      </c>
      <c r="D13" s="43" t="n"/>
    </row>
    <row r="14" ht="15" customHeight="1" s="30">
      <c r="B14" s="41" t="inlineStr">
        <is>
          <t>Water</t>
        </is>
      </c>
      <c r="C14" s="42" t="n">
        <v>30</v>
      </c>
      <c r="D14" s="43" t="n"/>
    </row>
    <row r="15" ht="15" customHeight="1" s="30">
      <c r="B15" s="41" t="inlineStr">
        <is>
          <t>Internet and phones</t>
        </is>
      </c>
      <c r="C15" s="42" t="n">
        <v>55</v>
      </c>
      <c r="D15" s="43" t="n"/>
    </row>
    <row r="16" ht="15" customHeight="1" s="30">
      <c r="B16" s="41" t="inlineStr">
        <is>
          <t>Insurance (home, car, health)</t>
        </is>
      </c>
      <c r="C16" s="42" t="n">
        <v>140</v>
      </c>
      <c r="D16" s="43" t="n"/>
    </row>
    <row r="17" ht="15" customHeight="1" s="30">
      <c r="B17" s="41" t="inlineStr">
        <is>
          <t>Groceries</t>
        </is>
      </c>
      <c r="C17" s="42" t="n">
        <v>520</v>
      </c>
      <c r="D17" s="43" t="n"/>
    </row>
    <row r="18" ht="15" customHeight="1" s="30">
      <c r="B18" s="41" t="inlineStr">
        <is>
          <t>Transport (fuel, public transport)</t>
        </is>
      </c>
      <c r="C18" s="42" t="n">
        <v>160</v>
      </c>
      <c r="D18" s="43" t="n"/>
    </row>
    <row r="19" ht="15" customHeight="1" s="30">
      <c r="B19" s="41" t="inlineStr">
        <is>
          <t>Children (school meals, childcare, activities)</t>
        </is>
      </c>
      <c r="C19" s="42" t="n">
        <v>120</v>
      </c>
      <c r="D19" s="43" t="n"/>
    </row>
    <row r="20" ht="15" customHeight="1" s="30">
      <c r="B20" s="41" t="inlineStr">
        <is>
          <t>Subscriptions (streaming, gym…)</t>
        </is>
      </c>
      <c r="C20" s="42" t="n">
        <v>35</v>
      </c>
      <c r="D20" s="43" t="n"/>
    </row>
    <row r="21" ht="15" customHeight="1" s="30">
      <c r="B21" s="41" t="inlineStr">
        <is>
          <t>Taxes (monthly share)</t>
        </is>
      </c>
      <c r="C21" s="42" t="n">
        <v>90</v>
      </c>
      <c r="D21" s="43" t="inlineStr">
        <is>
          <t>Yearly property tax: see the Year tab</t>
        </is>
      </c>
    </row>
    <row r="22" ht="15" customHeight="1" s="30">
      <c r="B22" s="41" t="inlineStr">
        <is>
          <t>Health (out of pocket)</t>
        </is>
      </c>
      <c r="C22" s="42" t="n">
        <v>30</v>
      </c>
      <c r="D22" s="43" t="n"/>
    </row>
    <row r="23" ht="15" customHeight="1" s="30">
      <c r="B23" s="41" t="inlineStr">
        <is>
          <t>Fun and going out</t>
        </is>
      </c>
      <c r="C23" s="42" t="n">
        <v>120</v>
      </c>
      <c r="D23" s="43" t="n"/>
    </row>
    <row r="24" ht="15" customHeight="1" s="30">
      <c r="B24" s="41" t="inlineStr">
        <is>
          <t>Other</t>
        </is>
      </c>
      <c r="C24" s="42" t="n">
        <v>60</v>
      </c>
      <c r="D24" s="43" t="n"/>
    </row>
    <row r="25" ht="15" customHeight="1" s="30">
      <c r="B25" s="44" t="inlineStr">
        <is>
          <t>Total bills</t>
        </is>
      </c>
      <c r="C25" s="45">
        <f>SUM(C12:C24)</f>
        <v/>
      </c>
      <c r="D25" s="46" t="n"/>
    </row>
    <row r="26"/>
    <row r="27" ht="15" customHeight="1" s="30">
      <c r="B27" s="40" t="inlineStr">
        <is>
          <t>Savings</t>
        </is>
      </c>
      <c r="C27" s="40" t="inlineStr">
        <is>
          <t>Monthly amount</t>
        </is>
      </c>
      <c r="D27" s="40" t="inlineStr">
        <is>
          <t>Note</t>
        </is>
      </c>
    </row>
    <row r="28" ht="15" customHeight="1" s="30">
      <c r="B28" s="41" t="inlineStr">
        <is>
          <t>Emergency fund</t>
        </is>
      </c>
      <c r="C28" s="42" t="n">
        <v>150</v>
      </c>
      <c r="D28" s="43" t="inlineStr">
        <is>
          <t>Usual target: 3 to 6 months of bills</t>
        </is>
      </c>
    </row>
    <row r="29" ht="15" customHeight="1" s="30">
      <c r="B29" s="41" t="inlineStr">
        <is>
          <t>Holidays</t>
        </is>
      </c>
      <c r="C29" s="42" t="n">
        <v>150</v>
      </c>
      <c r="D29" s="43" t="n"/>
    </row>
    <row r="30" ht="15" customHeight="1" s="30">
      <c r="B30" s="41" t="inlineStr">
        <is>
          <t>Goal (down payment, car…)</t>
        </is>
      </c>
      <c r="C30" s="42" t="n">
        <v>100</v>
      </c>
      <c r="D30" s="43" t="n"/>
    </row>
    <row r="31" ht="15" customHeight="1" s="30">
      <c r="B31" s="44" t="inlineStr">
        <is>
          <t>Total savings</t>
        </is>
      </c>
      <c r="C31" s="45">
        <f>SUM(C28:C30)</f>
        <v/>
      </c>
      <c r="D31" s="46" t="n"/>
    </row>
    <row r="32"/>
    <row r="33" ht="15" customHeight="1" s="30">
      <c r="B33" s="40" t="inlineStr">
        <is>
          <t>Summary</t>
        </is>
      </c>
      <c r="C33" s="47" t="n"/>
      <c r="D33" s="47" t="n"/>
    </row>
    <row r="34" ht="15" customHeight="1" s="30">
      <c r="B34" s="41" t="inlineStr">
        <is>
          <t>Income</t>
        </is>
      </c>
      <c r="C34" s="48">
        <f>C9</f>
        <v/>
      </c>
    </row>
    <row r="35" ht="15" customHeight="1" s="30">
      <c r="B35" s="41" t="inlineStr">
        <is>
          <t>Bills</t>
        </is>
      </c>
      <c r="C35" s="48">
        <f>C25</f>
        <v/>
      </c>
    </row>
    <row r="36" ht="15" customHeight="1" s="30">
      <c r="B36" s="41" t="inlineStr">
        <is>
          <t>Savings</t>
        </is>
      </c>
      <c r="C36" s="48">
        <f>C31</f>
        <v/>
      </c>
    </row>
    <row r="37" ht="15" customHeight="1" s="30">
      <c r="B37" s="49" t="inlineStr">
        <is>
          <t>Left for the month</t>
        </is>
      </c>
      <c r="C37" s="50">
        <f>C9-C25-C31</f>
        <v/>
      </c>
      <c r="D37" s="43" t="inlineStr">
        <is>
          <t>Everyone’s spending money included. Negative: money is short this month.</t>
        </is>
      </c>
    </row>
    <row r="38" ht="15" customHeight="1" s="30">
      <c r="B38" s="41" t="inlineStr">
        <is>
          <t>Share of income saved</t>
        </is>
      </c>
      <c r="C38" s="51">
        <f>IF(C9&gt;0,C31/C9,0)</f>
        <v/>
      </c>
      <c r="D38" s="43" t="inlineStr">
        <is>
          <t>Common benchmark: aim for 10 to 20% of income.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G1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zeroHeight="0" outlineLevelRow="0"/>
  <cols>
    <col width="3" customWidth="1" style="29" min="1" max="1"/>
    <col width="34" customWidth="1" style="29" min="2" max="2"/>
    <col width="18" customWidth="1" style="29" min="3" max="7"/>
  </cols>
  <sheetData>
    <row r="1"/>
    <row r="2" ht="19.7" customHeight="1" s="30">
      <c r="B2" s="38" t="inlineStr">
        <is>
          <t>Joint pot: who pays in how much?</t>
        </is>
      </c>
    </row>
    <row r="3" ht="15" customHeight="1" s="30">
      <c r="B3" s="39" t="inlineStr">
        <is>
          <t>Pay and needs come from the “Monthly budget” tab.</t>
        </is>
      </c>
    </row>
    <row r="4"/>
    <row r="5" ht="15" customHeight="1" s="30">
      <c r="B5" s="41" t="inlineStr">
        <is>
          <t>Take-home pay: person 1</t>
        </is>
      </c>
      <c r="C5" s="52">
        <f>'Monthly budget'!C6</f>
        <v/>
      </c>
    </row>
    <row r="6" ht="15" customHeight="1" s="30">
      <c r="B6" s="41" t="inlineStr">
        <is>
          <t>Take-home pay: person 2</t>
        </is>
      </c>
      <c r="C6" s="52">
        <f>'Monthly budget'!C7</f>
        <v/>
      </c>
    </row>
    <row r="7" ht="15" customHeight="1" s="30">
      <c r="B7" s="41" t="inlineStr">
        <is>
          <t>Needed this month (bills + savings)</t>
        </is>
      </c>
      <c r="C7" s="52">
        <f>'Monthly budget'!C25+'Monthly budget'!C31</f>
        <v/>
      </c>
    </row>
    <row r="8"/>
    <row r="9" ht="31.5" customHeight="1" s="30">
      <c r="B9" s="53" t="inlineStr">
        <is>
          <t>Method</t>
        </is>
      </c>
      <c r="C9" s="53" t="inlineStr">
        <is>
          <t>Pays in: person 1</t>
        </is>
      </c>
      <c r="D9" s="53" t="inlineStr">
        <is>
          <t>Pays in: person 2</t>
        </is>
      </c>
      <c r="E9" s="53" t="inlineStr">
        <is>
          <t>Spending money 1</t>
        </is>
      </c>
      <c r="F9" s="53" t="inlineStr">
        <is>
          <t>Spending money 2</t>
        </is>
      </c>
      <c r="G9" s="53" t="inlineStr">
        <is>
          <t>Spending money gap</t>
        </is>
      </c>
    </row>
    <row r="10" ht="15" customHeight="1" s="30">
      <c r="B10" s="49" t="inlineStr">
        <is>
          <t>Equal shares (50/50)</t>
        </is>
      </c>
      <c r="C10" s="54">
        <f>C7/2</f>
        <v/>
      </c>
      <c r="D10" s="54">
        <f>C7/2</f>
        <v/>
      </c>
      <c r="E10" s="54">
        <f>C5-C10</f>
        <v/>
      </c>
      <c r="F10" s="54">
        <f>C6-D10</f>
        <v/>
      </c>
      <c r="G10" s="54">
        <f>ABS(E10-F10)</f>
        <v/>
      </c>
    </row>
    <row r="11" ht="15" customHeight="1" s="30">
      <c r="B11" s="55" t="inlineStr">
        <is>
          <t>In proportion to pay</t>
        </is>
      </c>
      <c r="C11" s="56">
        <f>IF(C5+C6&gt;0,C7*C5/(C5+C6),C7/2)</f>
        <v/>
      </c>
      <c r="D11" s="56">
        <f>IF(C5+C6&gt;0,C7*C6/(C5+C6),C7/2)</f>
        <v/>
      </c>
      <c r="E11" s="56">
        <f>C5-C11</f>
        <v/>
      </c>
      <c r="F11" s="56">
        <f>C6-D11</f>
        <v/>
      </c>
      <c r="G11" s="56">
        <f>ABS(E11-F11)</f>
        <v/>
      </c>
    </row>
    <row r="12" ht="15" customHeight="1" s="30">
      <c r="B12" s="49" t="inlineStr">
        <is>
          <t>Same spending money</t>
        </is>
      </c>
      <c r="C12" s="54">
        <f>MAX(0,MIN(C7,(C5-C6+C7)/2))</f>
        <v/>
      </c>
      <c r="D12" s="54">
        <f>C7-C12</f>
        <v/>
      </c>
      <c r="E12" s="54">
        <f>C5-C12</f>
        <v/>
      </c>
      <c r="F12" s="54">
        <f>C6-D12</f>
        <v/>
      </c>
      <c r="G12" s="54">
        <f>ABS(E12-F12)</f>
        <v/>
      </c>
    </row>
    <row r="13"/>
    <row r="14" ht="15" customHeight="1" s="30">
      <c r="B14" s="43" t="inlineStr">
        <is>
          <t>50/50: each pays in the same amount; spending money follows the pay gap.</t>
        </is>
      </c>
    </row>
    <row r="15" ht="15" customHeight="1" s="30">
      <c r="B15" s="43" t="inlineStr">
        <is>
          <t>In proportion: each pays in the same share of their pay; the most common method when incomes differ.</t>
        </is>
      </c>
    </row>
    <row r="16" ht="15" customHeight="1" s="30">
      <c r="B16" s="43" t="inlineStr">
        <is>
          <t>Same spending money: each keeps the same amount for themselves (if the pay gap is larger than the need, the higher earner pays it all).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I2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baseColWidth="8" defaultColWidth="8.5390625" defaultRowHeight="15" zeroHeight="0" outlineLevelRow="0"/>
  <cols>
    <col width="3" customWidth="1" style="29" min="1" max="1"/>
    <col width="14" customWidth="1" style="29" min="2" max="2"/>
    <col width="17" customWidth="1" style="29" min="3" max="9"/>
  </cols>
  <sheetData>
    <row r="1"/>
    <row r="2" ht="19.7" customHeight="1" s="30">
      <c r="B2" s="38" t="inlineStr">
        <is>
          <t>My year</t>
        </is>
      </c>
    </row>
    <row r="3" ht="15" customHeight="1" s="30">
      <c r="B3" s="39" t="inlineStr">
        <is>
          <t>Each month starts from the monthly budget. Add in yellow what doesn’t come every month.</t>
        </is>
      </c>
    </row>
    <row r="4"/>
    <row r="5" ht="31.5" customHeight="1" s="30">
      <c r="B5" s="53" t="inlineStr">
        <is>
          <t>Month</t>
        </is>
      </c>
      <c r="C5" s="53" t="inlineStr">
        <is>
          <t>Income</t>
        </is>
      </c>
      <c r="D5" s="53" t="inlineStr">
        <is>
          <t>Extra income</t>
        </is>
      </c>
      <c r="E5" s="53" t="inlineStr">
        <is>
          <t>Bills</t>
        </is>
      </c>
      <c r="F5" s="53" t="inlineStr">
        <is>
          <t>Extra bills</t>
        </is>
      </c>
      <c r="G5" s="53" t="inlineStr">
        <is>
          <t>Savings</t>
        </is>
      </c>
      <c r="H5" s="53" t="inlineStr">
        <is>
          <t>Left for the month</t>
        </is>
      </c>
      <c r="I5" s="53" t="inlineStr">
        <is>
          <t>Running total</t>
        </is>
      </c>
    </row>
    <row r="6" ht="15" customHeight="1" s="30">
      <c r="B6" s="49" t="inlineStr">
        <is>
          <t>January</t>
        </is>
      </c>
      <c r="C6" s="57">
        <f>'Monthly budget'!$C$9</f>
        <v/>
      </c>
      <c r="D6" s="42" t="n">
        <v>0</v>
      </c>
      <c r="E6" s="57">
        <f>'Monthly budget'!$C$25</f>
        <v/>
      </c>
      <c r="F6" s="42" t="n">
        <v>0</v>
      </c>
      <c r="G6" s="57">
        <f>'Monthly budget'!$C$31</f>
        <v/>
      </c>
      <c r="H6" s="54">
        <f>C6+D6-E6-F6-G6</f>
        <v/>
      </c>
      <c r="I6" s="58">
        <f>H6</f>
        <v/>
      </c>
    </row>
    <row r="7" ht="15" customHeight="1" s="30">
      <c r="B7" s="49" t="inlineStr">
        <is>
          <t>February</t>
        </is>
      </c>
      <c r="C7" s="57">
        <f>'Monthly budget'!$C$9</f>
        <v/>
      </c>
      <c r="D7" s="42" t="n">
        <v>0</v>
      </c>
      <c r="E7" s="57">
        <f>'Monthly budget'!$C$25</f>
        <v/>
      </c>
      <c r="F7" s="42" t="n">
        <v>0</v>
      </c>
      <c r="G7" s="57">
        <f>'Monthly budget'!$C$31</f>
        <v/>
      </c>
      <c r="H7" s="54">
        <f>C7+D7-E7-F7-G7</f>
        <v/>
      </c>
      <c r="I7" s="58">
        <f>I6+H7</f>
        <v/>
      </c>
    </row>
    <row r="8" ht="15" customHeight="1" s="30">
      <c r="B8" s="49" t="inlineStr">
        <is>
          <t>March</t>
        </is>
      </c>
      <c r="C8" s="57">
        <f>'Monthly budget'!$C$9</f>
        <v/>
      </c>
      <c r="D8" s="42" t="n">
        <v>0</v>
      </c>
      <c r="E8" s="57">
        <f>'Monthly budget'!$C$25</f>
        <v/>
      </c>
      <c r="F8" s="42" t="n">
        <v>0</v>
      </c>
      <c r="G8" s="57">
        <f>'Monthly budget'!$C$31</f>
        <v/>
      </c>
      <c r="H8" s="54">
        <f>C8+D8-E8-F8-G8</f>
        <v/>
      </c>
      <c r="I8" s="58">
        <f>I7+H8</f>
        <v/>
      </c>
    </row>
    <row r="9" ht="15" customHeight="1" s="30">
      <c r="B9" s="49" t="inlineStr">
        <is>
          <t>April</t>
        </is>
      </c>
      <c r="C9" s="57">
        <f>'Monthly budget'!$C$9</f>
        <v/>
      </c>
      <c r="D9" s="42" t="n">
        <v>0</v>
      </c>
      <c r="E9" s="57">
        <f>'Monthly budget'!$C$25</f>
        <v/>
      </c>
      <c r="F9" s="42" t="n">
        <v>0</v>
      </c>
      <c r="G9" s="57">
        <f>'Monthly budget'!$C$31</f>
        <v/>
      </c>
      <c r="H9" s="54">
        <f>C9+D9-E9-F9-G9</f>
        <v/>
      </c>
      <c r="I9" s="58">
        <f>I8+H9</f>
        <v/>
      </c>
    </row>
    <row r="10" ht="15" customHeight="1" s="30">
      <c r="B10" s="49" t="inlineStr">
        <is>
          <t>May</t>
        </is>
      </c>
      <c r="C10" s="57">
        <f>'Monthly budget'!$C$9</f>
        <v/>
      </c>
      <c r="D10" s="42" t="n">
        <v>0</v>
      </c>
      <c r="E10" s="57">
        <f>'Monthly budget'!$C$25</f>
        <v/>
      </c>
      <c r="F10" s="42" t="n">
        <v>0</v>
      </c>
      <c r="G10" s="57">
        <f>'Monthly budget'!$C$31</f>
        <v/>
      </c>
      <c r="H10" s="54">
        <f>C10+D10-E10-F10-G10</f>
        <v/>
      </c>
      <c r="I10" s="58">
        <f>I9+H10</f>
        <v/>
      </c>
    </row>
    <row r="11" ht="15" customHeight="1" s="30">
      <c r="B11" s="49" t="inlineStr">
        <is>
          <t>June</t>
        </is>
      </c>
      <c r="C11" s="57">
        <f>'Monthly budget'!$C$9</f>
        <v/>
      </c>
      <c r="D11" s="42" t="n">
        <v>300</v>
      </c>
      <c r="E11" s="57">
        <f>'Monthly budget'!$C$25</f>
        <v/>
      </c>
      <c r="F11" s="42" t="n">
        <v>0</v>
      </c>
      <c r="G11" s="57">
        <f>'Monthly budget'!$C$31</f>
        <v/>
      </c>
      <c r="H11" s="54">
        <f>C11+D11-E11-F11-G11</f>
        <v/>
      </c>
      <c r="I11" s="58">
        <f>I10+H11</f>
        <v/>
      </c>
    </row>
    <row r="12" ht="15" customHeight="1" s="30">
      <c r="B12" s="49" t="inlineStr">
        <is>
          <t>July</t>
        </is>
      </c>
      <c r="C12" s="57">
        <f>'Monthly budget'!$C$9</f>
        <v/>
      </c>
      <c r="D12" s="42" t="n">
        <v>0</v>
      </c>
      <c r="E12" s="57">
        <f>'Monthly budget'!$C$25</f>
        <v/>
      </c>
      <c r="F12" s="42" t="n">
        <v>0</v>
      </c>
      <c r="G12" s="57">
        <f>'Monthly budget'!$C$31</f>
        <v/>
      </c>
      <c r="H12" s="54">
        <f>C12+D12-E12-F12-G12</f>
        <v/>
      </c>
      <c r="I12" s="58">
        <f>I11+H12</f>
        <v/>
      </c>
    </row>
    <row r="13" ht="15" customHeight="1" s="30">
      <c r="B13" s="49" t="inlineStr">
        <is>
          <t>August</t>
        </is>
      </c>
      <c r="C13" s="57">
        <f>'Monthly budget'!$C$9</f>
        <v/>
      </c>
      <c r="D13" s="42" t="n">
        <v>0</v>
      </c>
      <c r="E13" s="57">
        <f>'Monthly budget'!$C$25</f>
        <v/>
      </c>
      <c r="F13" s="42" t="n">
        <v>0</v>
      </c>
      <c r="G13" s="57">
        <f>'Monthly budget'!$C$31</f>
        <v/>
      </c>
      <c r="H13" s="54">
        <f>C13+D13-E13-F13-G13</f>
        <v/>
      </c>
      <c r="I13" s="58">
        <f>I12+H13</f>
        <v/>
      </c>
    </row>
    <row r="14" ht="15" customHeight="1" s="30">
      <c r="B14" s="49" t="inlineStr">
        <is>
          <t>September</t>
        </is>
      </c>
      <c r="C14" s="57">
        <f>'Monthly budget'!$C$9</f>
        <v/>
      </c>
      <c r="D14" s="42" t="n">
        <v>0</v>
      </c>
      <c r="E14" s="57">
        <f>'Monthly budget'!$C$25</f>
        <v/>
      </c>
      <c r="F14" s="42" t="n">
        <v>0</v>
      </c>
      <c r="G14" s="57">
        <f>'Monthly budget'!$C$31</f>
        <v/>
      </c>
      <c r="H14" s="54">
        <f>C14+D14-E14-F14-G14</f>
        <v/>
      </c>
      <c r="I14" s="58">
        <f>I13+H14</f>
        <v/>
      </c>
    </row>
    <row r="15" ht="15" customHeight="1" s="30">
      <c r="B15" s="49" t="inlineStr">
        <is>
          <t>October</t>
        </is>
      </c>
      <c r="C15" s="57">
        <f>'Monthly budget'!$C$9</f>
        <v/>
      </c>
      <c r="D15" s="42" t="n">
        <v>0</v>
      </c>
      <c r="E15" s="57">
        <f>'Monthly budget'!$C$25</f>
        <v/>
      </c>
      <c r="F15" s="42" t="n">
        <v>980</v>
      </c>
      <c r="G15" s="57">
        <f>'Monthly budget'!$C$31</f>
        <v/>
      </c>
      <c r="H15" s="54">
        <f>C15+D15-E15-F15-G15</f>
        <v/>
      </c>
      <c r="I15" s="58">
        <f>I14+H15</f>
        <v/>
      </c>
    </row>
    <row r="16" ht="15" customHeight="1" s="30">
      <c r="B16" s="49" t="inlineStr">
        <is>
          <t>November</t>
        </is>
      </c>
      <c r="C16" s="57">
        <f>'Monthly budget'!$C$9</f>
        <v/>
      </c>
      <c r="D16" s="42" t="n">
        <v>0</v>
      </c>
      <c r="E16" s="57">
        <f>'Monthly budget'!$C$25</f>
        <v/>
      </c>
      <c r="F16" s="42" t="n">
        <v>0</v>
      </c>
      <c r="G16" s="57">
        <f>'Monthly budget'!$C$31</f>
        <v/>
      </c>
      <c r="H16" s="54">
        <f>C16+D16-E16-F16-G16</f>
        <v/>
      </c>
      <c r="I16" s="58">
        <f>I15+H16</f>
        <v/>
      </c>
    </row>
    <row r="17" ht="15" customHeight="1" s="30">
      <c r="B17" s="49" t="inlineStr">
        <is>
          <t>December</t>
        </is>
      </c>
      <c r="C17" s="57">
        <f>'Monthly budget'!$C$9</f>
        <v/>
      </c>
      <c r="D17" s="42" t="n">
        <v>0</v>
      </c>
      <c r="E17" s="57">
        <f>'Monthly budget'!$C$25</f>
        <v/>
      </c>
      <c r="F17" s="42" t="n">
        <v>0</v>
      </c>
      <c r="G17" s="57">
        <f>'Monthly budget'!$C$31</f>
        <v/>
      </c>
      <c r="H17" s="54">
        <f>C17+D17-E17-F17-G17</f>
        <v/>
      </c>
      <c r="I17" s="58">
        <f>I16+H17</f>
        <v/>
      </c>
    </row>
    <row r="18" ht="15" customHeight="1" s="30">
      <c r="B18" s="44" t="inlineStr">
        <is>
          <t>Total</t>
        </is>
      </c>
      <c r="C18" s="45">
        <f>SUM(C6:C17)</f>
        <v/>
      </c>
      <c r="D18" s="45">
        <f>SUM(D6:D17)</f>
        <v/>
      </c>
      <c r="E18" s="45">
        <f>SUM(E6:E17)</f>
        <v/>
      </c>
      <c r="F18" s="45">
        <f>SUM(F6:F17)</f>
        <v/>
      </c>
      <c r="G18" s="45">
        <f>SUM(G6:G17)</f>
        <v/>
      </c>
      <c r="H18" s="45">
        <f>SUM(H6:H17)</f>
        <v/>
      </c>
      <c r="I18" s="46" t="n"/>
    </row>
    <row r="19"/>
    <row r="20" ht="15" customHeight="1" s="30">
      <c r="B20" s="49" t="inlineStr">
        <is>
          <t>Saved over the year</t>
        </is>
      </c>
      <c r="F20" s="50">
        <f>G18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Budget Famille</dc:creator>
  <dc:title xmlns:dc="http://purl.org/dc/elements/1.1/">Free family budget template</dc:title>
  <dc:language xmlns:dc="http://purl.org/dc/elements/1.1/">en</dc:language>
  <dcterms:created xmlns:dcterms="http://purl.org/dc/terms/" xmlns:xsi="http://www.w3.org/2001/XMLSchema-instance" xsi:type="dcterms:W3CDTF">2026-10-03T13:57:15Z</dcterms:created>
  <dcterms:modified xmlns:dcterms="http://purl.org/dc/terms/" xmlns:xsi="http://www.w3.org/2001/XMLSchema-instance" xsi:type="dcterms:W3CDTF">2026-10-14T15:44:38Z</dcterms:modified>
  <cp:revision>0</cp:revision>
</cp:coreProperties>
</file>